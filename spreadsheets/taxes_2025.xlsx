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X" sheetId="2" state="visible" r:id="rId2"/>
    <sheet xmlns:r="http://schemas.openxmlformats.org/officeDocument/2006/relationships" name="Employment" sheetId="3" state="visible" r:id="rId3"/>
    <sheet xmlns:r="http://schemas.openxmlformats.org/officeDocument/2006/relationships" name="Options" sheetId="4" state="visible" r:id="rId4"/>
    <sheet xmlns:r="http://schemas.openxmlformats.org/officeDocument/2006/relationships" name="Rental" sheetId="5" state="visible" r:id="rId5"/>
    <sheet xmlns:r="http://schemas.openxmlformats.org/officeDocument/2006/relationships" name="UK Tax" sheetId="6" state="visible" r:id="rId6"/>
    <sheet xmlns:r="http://schemas.openxmlformats.org/officeDocument/2006/relationships" name="US FTC" sheetId="7" state="visible" r:id="rId7"/>
    <sheet xmlns:r="http://schemas.openxmlformats.org/officeDocument/2006/relationships" name="FEIE vs FTC" sheetId="8" state="visible" r:id="rId8"/>
  </sheets>
  <definedNames/>
  <calcPr calcId="124519" fullCalcOnLoad="1"/>
</workbook>
</file>

<file path=xl/styles.xml><?xml version="1.0" encoding="utf-8"?>
<styleSheet xmlns="http://schemas.openxmlformats.org/spreadsheetml/2006/main">
  <numFmts count="4">
    <numFmt numFmtId="164" formatCode="0.000"/>
    <numFmt numFmtId="165" formatCode="&quot;£&quot;#,##0"/>
    <numFmt numFmtId="166" formatCode="&quot;$&quot;#,##0"/>
    <numFmt numFmtId="167" formatCode="0.0%"/>
  </numFmts>
  <fonts count="5">
    <font>
      <name val="Calibri"/>
      <family val="2"/>
      <color theme="1"/>
      <sz val="11"/>
      <scheme val="minor"/>
    </font>
    <font>
      <b val="1"/>
      <sz val="13"/>
    </font>
    <font>
      <b val="1"/>
      <color rgb="00FFFFFF"/>
    </font>
    <font>
      <i val="1"/>
      <color rgb="00666666"/>
    </font>
    <font>
      <b val="1"/>
    </font>
  </fonts>
  <fills count="5">
    <fill>
      <patternFill/>
    </fill>
    <fill>
      <patternFill patternType="gray125"/>
    </fill>
    <fill>
      <patternFill patternType="solid">
        <fgColor rgb="00305496"/>
      </patternFill>
    </fill>
    <fill>
      <patternFill patternType="solid">
        <fgColor rgb="00EDEDED"/>
      </patternFill>
    </fill>
    <fill>
      <patternFill patternType="solid">
        <fgColor rgb="00DDEBF7"/>
      </patternFill>
    </fill>
  </fills>
  <borders count="2">
    <border>
      <left/>
      <right/>
      <top/>
      <bottom/>
      <diagonal/>
    </border>
    <border>
      <bottom style="thin">
        <color rgb="00BBBBBB"/>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164" fontId="0" fillId="3" borderId="0" pivotButton="0" quotePrefix="0" xfId="0"/>
    <xf numFmtId="0" fontId="3" fillId="0" borderId="0" pivotButton="0" quotePrefix="0" xfId="0"/>
    <xf numFmtId="164" fontId="0" fillId="4" borderId="0" pivotButton="0" quotePrefix="0" xfId="0"/>
    <xf numFmtId="165" fontId="0" fillId="4" borderId="0" pivotButton="0" quotePrefix="0" xfId="0"/>
    <xf numFmtId="0" fontId="4" fillId="0" borderId="0" pivotButton="0" quotePrefix="0" xfId="0"/>
    <xf numFmtId="166" fontId="4" fillId="0" borderId="0" pivotButton="0" quotePrefix="0" xfId="0"/>
    <xf numFmtId="0" fontId="2" fillId="2" borderId="0" applyAlignment="1" pivotButton="0" quotePrefix="0" xfId="0">
      <alignment vertical="top" wrapText="1"/>
    </xf>
    <xf numFmtId="0" fontId="0" fillId="4" borderId="0" pivotButton="0" quotePrefix="0" xfId="0"/>
    <xf numFmtId="166" fontId="0" fillId="0" borderId="0" pivotButton="0" quotePrefix="0" xfId="0"/>
    <xf numFmtId="167" fontId="0" fillId="0" borderId="0" pivotButton="0" quotePrefix="0" xfId="0"/>
    <xf numFmtId="165" fontId="4" fillId="0" borderId="0" pivotButton="0" quotePrefix="0" xfId="0"/>
    <xf numFmtId="165" fontId="0" fillId="0" borderId="0" pivotButton="0" quotePrefix="0" xfId="0"/>
    <xf numFmtId="166" fontId="0" fillId="4" borderId="0" pivotButton="0" quotePrefix="0" xfId="0"/>
    <xf numFmtId="165" fontId="0" fillId="3" borderId="0" pivotButton="0" quotePrefix="0" xfId="0"/>
    <xf numFmtId="166" fontId="0" fillId="3"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US/UK expat tax workbook — US tax year 2025 / UK tax year 2025-26</t>
        </is>
      </c>
    </row>
    <row r="2">
      <c r="A2" t="inlineStr"/>
    </row>
    <row r="3">
      <c r="A3" t="inlineStr">
        <is>
          <t>Cell convention:  BLUE = your inputs   GREY = year constants (verify!)   WHITE = calculated</t>
        </is>
      </c>
    </row>
    <row r="4">
      <c r="A4" t="inlineStr"/>
    </row>
    <row r="5">
      <c r="A5" t="inlineStr">
        <is>
          <t>This is an estimation scaffold, not tax software. Grey constants were entered from 2025</t>
        </is>
      </c>
    </row>
    <row r="6">
      <c r="A6" t="inlineStr">
        <is>
          <t>figures known at generation time — verify each against the corpus (`usuk ask ...`) or the</t>
        </is>
      </c>
    </row>
    <row r="7">
      <c r="A7" t="inlineStr">
        <is>
          <t>official instructions before relying on a number.</t>
        </is>
      </c>
    </row>
    <row r="8">
      <c r="A8" t="inlineStr"/>
    </row>
    <row r="9">
      <c r="A9" t="inlineStr">
        <is>
          <t>Sheets:</t>
        </is>
      </c>
    </row>
    <row r="10">
      <c r="A10" t="inlineStr">
        <is>
          <t xml:space="preserve">  FX          — exchange rates (IRS yearly average for the US return; HMRC rates for SA)</t>
        </is>
      </c>
    </row>
    <row r="11">
      <c r="A11" t="inlineStr">
        <is>
          <t xml:space="preserve">  Employment  — UK salary + PAYE from P60/payslips, converted to USD</t>
        </is>
      </c>
    </row>
    <row r="12">
      <c r="A12" t="inlineStr">
        <is>
          <t xml:space="preserve">  Options     — per-exercise/vest rows with US/UK workday apportionment</t>
        </is>
      </c>
    </row>
    <row r="13">
      <c r="A13" t="inlineStr">
        <is>
          <t xml:space="preserve">  Rental      — UK property: parallel UK (SA105) and US (Schedule E + ADS depreciation) computations</t>
        </is>
      </c>
    </row>
    <row r="14">
      <c r="A14" t="inlineStr">
        <is>
          <t xml:space="preserve">  UK Tax      — rough UK 2025-26 liability (England bands; PAYE-adjusted)</t>
        </is>
      </c>
    </row>
    <row r="15">
      <c r="A15" t="inlineStr">
        <is>
          <t xml:space="preserve">  US FTC      — Form 1116 general-basket limitation and excess-credit position</t>
        </is>
      </c>
    </row>
    <row r="16">
      <c r="A16" t="inlineStr">
        <is>
          <t xml:space="preserve">  FEIE vs FTC — side-by-side strategy comparison</t>
        </is>
      </c>
    </row>
    <row r="17">
      <c r="A17" t="inlineStr"/>
    </row>
    <row r="18">
      <c r="A18" t="inlineStr">
        <is>
          <t>Key deadlines:  US: 15 Jun 2026 (auto expat extension; 15 Oct with Form 4868)</t>
        </is>
      </c>
    </row>
    <row r="19">
      <c r="A19" t="inlineStr">
        <is>
          <t xml:space="preserve">                UK: 31 Jan 2027 (online SA filing + balancing payment)</t>
        </is>
      </c>
    </row>
    <row r="20">
      <c r="A20" t="inlineStr"/>
    </row>
    <row r="21">
      <c r="A21" t="inlineStr">
        <is>
          <t>Not professional advice — verify high-stakes positions with a cross-border professional.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6" customWidth="1" min="1" max="1"/>
    <col width="14" customWidth="1" min="2" max="2"/>
    <col width="60" customWidth="1" min="3" max="3"/>
  </cols>
  <sheetData>
    <row r="1">
      <c r="A1" s="2" t="inlineStr">
        <is>
          <t>Exchange rates</t>
        </is>
      </c>
      <c r="B1" s="3" t="n"/>
      <c r="C1" s="3" t="n"/>
    </row>
    <row r="2">
      <c r="A2" t="inlineStr">
        <is>
          <t>IRS yearly average 2025 (GBP per 1 USD)</t>
        </is>
      </c>
      <c r="B2" s="4" t="n">
        <v>0.759</v>
      </c>
      <c r="C2" s="5" t="inlineStr">
        <is>
          <t>irs.gov 'Yearly average currency exchange rates' — use for US return income</t>
        </is>
      </c>
    </row>
    <row r="3">
      <c r="A3" t="inlineStr">
        <is>
          <t>IRS yearly average 2024 (GBP per 1 USD)</t>
        </is>
      </c>
      <c r="B3" s="4" t="n">
        <v>0.783</v>
      </c>
      <c r="C3" s="5" t="inlineStr">
        <is>
          <t>for reference / prior-year items</t>
        </is>
      </c>
    </row>
    <row r="4">
      <c r="A4" t="inlineStr">
        <is>
          <t>Spot rate override (GBP per 1 USD), optional</t>
        </is>
      </c>
      <c r="B4" s="6" t="n"/>
      <c r="C4" s="5" t="inlineStr">
        <is>
          <t>specific-transaction rate (e.g. option exercise date) if you prefer spot for that item</t>
        </is>
      </c>
    </row>
    <row r="5">
      <c r="A5" s="5" t="inlineStr">
        <is>
          <t>USD = GBP / rate.  UK SA is computed in GBP directly (no conversion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6" customWidth="1" min="1" max="1"/>
    <col width="16" customWidth="1" min="2" max="2"/>
    <col width="66" customWidth="1" min="3" max="3"/>
  </cols>
  <sheetData>
    <row r="1">
      <c r="A1" s="2" t="inlineStr">
        <is>
          <t>UK employment income (P60 / final 2025 payslips)</t>
        </is>
      </c>
      <c r="B1" s="3" t="n"/>
      <c r="C1" s="3" t="n"/>
    </row>
    <row r="2">
      <c r="C2" s="5" t="inlineStr">
        <is>
          <t>US return needs CALENDAR-2025 amounts; UK SA needs 2025-26 amounts. Enter both — payslips are the bridge.</t>
        </is>
      </c>
    </row>
    <row r="3">
      <c r="A3" t="inlineStr">
        <is>
          <t>Gross pay, calendar 2025 (GBP)</t>
        </is>
      </c>
      <c r="B3" s="7" t="n"/>
      <c r="C3" s="5" t="inlineStr">
        <is>
          <t>sum Jan-Dec 2025 payslips</t>
        </is>
      </c>
    </row>
    <row r="4">
      <c r="A4" t="inlineStr">
        <is>
          <t>UK tax (PAYE) withheld, calendar 2025 (GBP)</t>
        </is>
      </c>
      <c r="B4" s="7" t="n"/>
      <c r="C4" s="5" t="inlineStr">
        <is>
          <t>accrued/paid basket choice on Form 1116 — be consistent</t>
        </is>
      </c>
    </row>
    <row r="5">
      <c r="A5" t="inlineStr">
        <is>
          <t>Gross pay, UK year 2025-26 (GBP)</t>
        </is>
      </c>
      <c r="B5" s="7" t="n"/>
      <c r="C5" s="5" t="inlineStr">
        <is>
          <t>P60 for 2025-26</t>
        </is>
      </c>
    </row>
    <row r="6">
      <c r="A6" t="inlineStr">
        <is>
          <t>UK tax (PAYE) withheld, 2025-26 (GBP)</t>
        </is>
      </c>
      <c r="B6" s="7" t="n"/>
    </row>
    <row r="7">
      <c r="A7" t="inlineStr">
        <is>
          <t>Employee NIC, 2025-26 (GBP)</t>
        </is>
      </c>
      <c r="B7" s="7" t="n"/>
      <c r="C7" s="5" t="inlineStr">
        <is>
          <t>NIC is NOT creditable as income tax on Form 1116</t>
        </is>
      </c>
    </row>
    <row r="9">
      <c r="A9" s="8" t="inlineStr">
        <is>
          <t>Gross pay, calendar 2025 (USD)</t>
        </is>
      </c>
      <c r="B9" s="9">
        <f>IF(B3&gt;0,B3/FX!$B$2,0)</f>
        <v/>
      </c>
    </row>
    <row r="10">
      <c r="A10" s="8" t="inlineStr">
        <is>
          <t>UK tax withheld, calendar 2025 (USD)</t>
        </is>
      </c>
      <c r="B10" s="9">
        <f>IF(B4&gt;0,B4/FX!$B$2,0)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0" customWidth="1" min="5" max="5"/>
    <col width="11" customWidth="1" min="6" max="6"/>
    <col width="11" customWidth="1" min="7" max="7"/>
    <col width="13" customWidth="1" min="8" max="8"/>
    <col width="13" customWidth="1" min="9" max="9"/>
    <col width="13" customWidth="1" min="10" max="10"/>
    <col width="14" customWidth="1" min="11" max="11"/>
    <col width="14" customWidth="1" min="12" max="12"/>
    <col width="14" customWidth="1" min="13" max="13"/>
  </cols>
  <sheetData>
    <row r="1">
      <c r="A1" s="8" t="inlineStr">
        <is>
          <t>Equity compensation — one row per taxable event (NQSO exercise / RSU vest / ISO exercise)</t>
        </is>
      </c>
    </row>
    <row r="2">
      <c r="A2" s="5" t="inlineStr">
        <is>
          <t>Sourcing: spread is apportioned by workdays over grant→vest. UK workday share taxed by UK (usually via PAYE, see EIM43501/ERSM162000); total spread is US-taxable (citizen) with FTC for the UK share. ISO exercises: no regular-tax spread but AMT adjustment (Form 6251).</t>
        </is>
      </c>
    </row>
    <row r="4">
      <c r="A4" s="10" t="inlineStr">
        <is>
          <t>Grant/award ID</t>
        </is>
      </c>
      <c r="B4" s="10" t="inlineStr">
        <is>
          <t>Type</t>
        </is>
      </c>
      <c r="C4" s="10" t="inlineStr">
        <is>
          <t>Grant date</t>
        </is>
      </c>
      <c r="D4" s="10" t="inlineStr">
        <is>
          <t>Vest/exercise date</t>
        </is>
      </c>
      <c r="E4" s="10" t="inlineStr">
        <is>
          <t>Shares</t>
        </is>
      </c>
      <c r="F4" s="10" t="inlineStr">
        <is>
          <t>Strike $</t>
        </is>
      </c>
      <c r="G4" s="10" t="inlineStr">
        <is>
          <t>FMV $</t>
        </is>
      </c>
      <c r="H4" s="10" t="inlineStr">
        <is>
          <t>Spread $ (calc)</t>
        </is>
      </c>
      <c r="I4" s="10" t="inlineStr">
        <is>
          <t>Days grant→vest</t>
        </is>
      </c>
      <c r="J4" s="10" t="inlineStr">
        <is>
          <t>UK workdays</t>
        </is>
      </c>
      <c r="K4" s="10" t="inlineStr">
        <is>
          <t>UK share (calc)</t>
        </is>
      </c>
      <c r="L4" s="10" t="inlineStr">
        <is>
          <t>UK-source $ (calc)</t>
        </is>
      </c>
      <c r="M4" s="10" t="inlineStr">
        <is>
          <t>US-source $ (calc)</t>
        </is>
      </c>
    </row>
    <row r="5">
      <c r="A5" s="11" t="n"/>
      <c r="B5" s="11" t="n"/>
      <c r="C5" s="11" t="n"/>
      <c r="D5" s="11" t="n"/>
      <c r="E5" s="11" t="n"/>
      <c r="F5" s="11" t="n"/>
      <c r="G5" s="11" t="n"/>
      <c r="H5" s="12">
        <f>IF(E5&gt;0,E5*(G5-F5),0)</f>
        <v/>
      </c>
      <c r="I5" s="11" t="n"/>
      <c r="J5" s="11" t="n"/>
      <c r="K5" s="13">
        <f>IF(I5&gt;0,J5/I5,0)</f>
        <v/>
      </c>
      <c r="L5" s="12">
        <f>H5*K5</f>
        <v/>
      </c>
      <c r="M5" s="12">
        <f>H5-L5</f>
        <v/>
      </c>
    </row>
    <row r="6">
      <c r="A6" s="11" t="n"/>
      <c r="B6" s="11" t="n"/>
      <c r="C6" s="11" t="n"/>
      <c r="D6" s="11" t="n"/>
      <c r="E6" s="11" t="n"/>
      <c r="F6" s="11" t="n"/>
      <c r="G6" s="11" t="n"/>
      <c r="H6" s="12">
        <f>IF(E6&gt;0,E6*(G6-F6),0)</f>
        <v/>
      </c>
      <c r="I6" s="11" t="n"/>
      <c r="J6" s="11" t="n"/>
      <c r="K6" s="13">
        <f>IF(I6&gt;0,J6/I6,0)</f>
        <v/>
      </c>
      <c r="L6" s="12">
        <f>H6*K6</f>
        <v/>
      </c>
      <c r="M6" s="12">
        <f>H6-L6</f>
        <v/>
      </c>
    </row>
    <row r="7">
      <c r="A7" s="11" t="n"/>
      <c r="B7" s="11" t="n"/>
      <c r="C7" s="11" t="n"/>
      <c r="D7" s="11" t="n"/>
      <c r="E7" s="11" t="n"/>
      <c r="F7" s="11" t="n"/>
      <c r="G7" s="11" t="n"/>
      <c r="H7" s="12">
        <f>IF(E7&gt;0,E7*(G7-F7),0)</f>
        <v/>
      </c>
      <c r="I7" s="11" t="n"/>
      <c r="J7" s="11" t="n"/>
      <c r="K7" s="13">
        <f>IF(I7&gt;0,J7/I7,0)</f>
        <v/>
      </c>
      <c r="L7" s="12">
        <f>H7*K7</f>
        <v/>
      </c>
      <c r="M7" s="12">
        <f>H7-L7</f>
        <v/>
      </c>
    </row>
    <row r="8">
      <c r="A8" s="11" t="n"/>
      <c r="B8" s="11" t="n"/>
      <c r="C8" s="11" t="n"/>
      <c r="D8" s="11" t="n"/>
      <c r="E8" s="11" t="n"/>
      <c r="F8" s="11" t="n"/>
      <c r="G8" s="11" t="n"/>
      <c r="H8" s="12">
        <f>IF(E8&gt;0,E8*(G8-F8),0)</f>
        <v/>
      </c>
      <c r="I8" s="11" t="n"/>
      <c r="J8" s="11" t="n"/>
      <c r="K8" s="13">
        <f>IF(I8&gt;0,J8/I8,0)</f>
        <v/>
      </c>
      <c r="L8" s="12">
        <f>H8*K8</f>
        <v/>
      </c>
      <c r="M8" s="12">
        <f>H8-L8</f>
        <v/>
      </c>
    </row>
    <row r="9">
      <c r="A9" s="11" t="n"/>
      <c r="B9" s="11" t="n"/>
      <c r="C9" s="11" t="n"/>
      <c r="D9" s="11" t="n"/>
      <c r="E9" s="11" t="n"/>
      <c r="F9" s="11" t="n"/>
      <c r="G9" s="11" t="n"/>
      <c r="H9" s="12">
        <f>IF(E9&gt;0,E9*(G9-F9),0)</f>
        <v/>
      </c>
      <c r="I9" s="11" t="n"/>
      <c r="J9" s="11" t="n"/>
      <c r="K9" s="13">
        <f>IF(I9&gt;0,J9/I9,0)</f>
        <v/>
      </c>
      <c r="L9" s="12">
        <f>H9*K9</f>
        <v/>
      </c>
      <c r="M9" s="12">
        <f>H9-L9</f>
        <v/>
      </c>
    </row>
    <row r="10">
      <c r="A10" s="11" t="n"/>
      <c r="B10" s="11" t="n"/>
      <c r="C10" s="11" t="n"/>
      <c r="D10" s="11" t="n"/>
      <c r="E10" s="11" t="n"/>
      <c r="F10" s="11" t="n"/>
      <c r="G10" s="11" t="n"/>
      <c r="H10" s="12">
        <f>IF(E10&gt;0,E10*(G10-F10),0)</f>
        <v/>
      </c>
      <c r="I10" s="11" t="n"/>
      <c r="J10" s="11" t="n"/>
      <c r="K10" s="13">
        <f>IF(I10&gt;0,J10/I10,0)</f>
        <v/>
      </c>
      <c r="L10" s="12">
        <f>H10*K10</f>
        <v/>
      </c>
      <c r="M10" s="12">
        <f>H10-L10</f>
        <v/>
      </c>
    </row>
    <row r="11">
      <c r="A11" s="11" t="n"/>
      <c r="B11" s="11" t="n"/>
      <c r="C11" s="11" t="n"/>
      <c r="D11" s="11" t="n"/>
      <c r="E11" s="11" t="n"/>
      <c r="F11" s="11" t="n"/>
      <c r="G11" s="11" t="n"/>
      <c r="H11" s="12">
        <f>IF(E11&gt;0,E11*(G11-F11),0)</f>
        <v/>
      </c>
      <c r="I11" s="11" t="n"/>
      <c r="J11" s="11" t="n"/>
      <c r="K11" s="13">
        <f>IF(I11&gt;0,J11/I11,0)</f>
        <v/>
      </c>
      <c r="L11" s="12">
        <f>H11*K11</f>
        <v/>
      </c>
      <c r="M11" s="12">
        <f>H11-L11</f>
        <v/>
      </c>
    </row>
    <row r="12">
      <c r="A12" s="11" t="n"/>
      <c r="B12" s="11" t="n"/>
      <c r="C12" s="11" t="n"/>
      <c r="D12" s="11" t="n"/>
      <c r="E12" s="11" t="n"/>
      <c r="F12" s="11" t="n"/>
      <c r="G12" s="11" t="n"/>
      <c r="H12" s="12">
        <f>IF(E12&gt;0,E12*(G12-F12),0)</f>
        <v/>
      </c>
      <c r="I12" s="11" t="n"/>
      <c r="J12" s="11" t="n"/>
      <c r="K12" s="13">
        <f>IF(I12&gt;0,J12/I12,0)</f>
        <v/>
      </c>
      <c r="L12" s="12">
        <f>H12*K12</f>
        <v/>
      </c>
      <c r="M12" s="12">
        <f>H12-L12</f>
        <v/>
      </c>
    </row>
    <row r="13">
      <c r="A13" s="11" t="n"/>
      <c r="B13" s="11" t="n"/>
      <c r="C13" s="11" t="n"/>
      <c r="D13" s="11" t="n"/>
      <c r="E13" s="11" t="n"/>
      <c r="F13" s="11" t="n"/>
      <c r="G13" s="11" t="n"/>
      <c r="H13" s="12">
        <f>IF(E13&gt;0,E13*(G13-F13),0)</f>
        <v/>
      </c>
      <c r="I13" s="11" t="n"/>
      <c r="J13" s="11" t="n"/>
      <c r="K13" s="13">
        <f>IF(I13&gt;0,J13/I13,0)</f>
        <v/>
      </c>
      <c r="L13" s="12">
        <f>H13*K13</f>
        <v/>
      </c>
      <c r="M13" s="12">
        <f>H13-L13</f>
        <v/>
      </c>
    </row>
    <row r="14">
      <c r="A14" s="11" t="n"/>
      <c r="B14" s="11" t="n"/>
      <c r="C14" s="11" t="n"/>
      <c r="D14" s="11" t="n"/>
      <c r="E14" s="11" t="n"/>
      <c r="F14" s="11" t="n"/>
      <c r="G14" s="11" t="n"/>
      <c r="H14" s="12">
        <f>IF(E14&gt;0,E14*(G14-F14),0)</f>
        <v/>
      </c>
      <c r="I14" s="11" t="n"/>
      <c r="J14" s="11" t="n"/>
      <c r="K14" s="13">
        <f>IF(I14&gt;0,J14/I14,0)</f>
        <v/>
      </c>
      <c r="L14" s="12">
        <f>H14*K14</f>
        <v/>
      </c>
      <c r="M14" s="12">
        <f>H14-L14</f>
        <v/>
      </c>
    </row>
    <row r="15">
      <c r="G15" s="8" t="inlineStr">
        <is>
          <t>Totals:</t>
        </is>
      </c>
      <c r="H15" s="9">
        <f>SUM(H5:H14)</f>
        <v/>
      </c>
      <c r="L15" s="9">
        <f>SUM(L5:L14)</f>
        <v/>
      </c>
      <c r="M15" s="9">
        <f>SUM(M5:M14)</f>
        <v/>
      </c>
    </row>
    <row r="17">
      <c r="A17" t="inlineStr">
        <is>
          <t>UK tax paid via PAYE on option/RSU income, calendar 2025 (GBP):</t>
        </is>
      </c>
      <c r="C17"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6" customWidth="1" min="1" max="1"/>
    <col width="16" customWidth="1" min="2" max="2"/>
    <col width="16" customWidth="1" min="3" max="3"/>
    <col width="56" customWidth="1" min="4" max="4"/>
  </cols>
  <sheetData>
    <row r="1">
      <c r="A1" s="8" t="inlineStr">
        <is>
          <t>UK rental property — parallel computations</t>
        </is>
      </c>
    </row>
    <row r="2">
      <c r="A2" s="5" t="inlineStr">
        <is>
          <t>UK column: 2025-26 amounts, SA105 rules (no depreciation; finance-cost 20% credit). US column: calendar-2025 amounts in GBP (converted below), Schedule E rules (depreciation; full mortgage interest).</t>
        </is>
      </c>
    </row>
    <row r="4">
      <c r="B4" s="8" t="inlineStr">
        <is>
          <t>UK 2025-26 (GBP)</t>
        </is>
      </c>
      <c r="C4" s="8" t="inlineStr">
        <is>
          <t>US cal-2025 (GBP)</t>
        </is>
      </c>
    </row>
    <row r="5">
      <c r="A5" t="inlineStr">
        <is>
          <t>Rents received</t>
        </is>
      </c>
      <c r="B5" s="7" t="n"/>
      <c r="C5" s="7" t="n"/>
    </row>
    <row r="6">
      <c r="A6" t="inlineStr">
        <is>
          <t>Letting agent fees</t>
        </is>
      </c>
      <c r="B6" s="7" t="n"/>
      <c r="C6" s="7" t="n"/>
    </row>
    <row r="7">
      <c r="A7" t="inlineStr">
        <is>
          <t>Repairs and maintenance (not improvements)</t>
        </is>
      </c>
      <c r="B7" s="7" t="n"/>
      <c r="C7" s="7" t="n"/>
    </row>
    <row r="8">
      <c r="A8" t="inlineStr">
        <is>
          <t>Insurance</t>
        </is>
      </c>
      <c r="B8" s="7" t="n"/>
      <c r="C8" s="7" t="n"/>
    </row>
    <row r="9">
      <c r="A9" t="inlineStr">
        <is>
          <t>Other allowable expenses</t>
        </is>
      </c>
      <c r="B9" s="7" t="n"/>
      <c r="C9" s="7" t="n"/>
    </row>
    <row r="10">
      <c r="A10" t="inlineStr">
        <is>
          <t>Mortgage interest (finance costs)</t>
        </is>
      </c>
      <c r="B10" s="7" t="n"/>
      <c r="C10" s="7" t="n"/>
      <c r="D10" s="5" t="inlineStr">
        <is>
          <t>UK: NOT deducted here — 20% credit below. US: fully deductible.</t>
        </is>
      </c>
    </row>
    <row r="11">
      <c r="A11" s="8" t="inlineStr">
        <is>
          <t>UK property profit (excl. finance costs)</t>
        </is>
      </c>
      <c r="B11" s="14">
        <f>B5-SUM(B6:B9)</f>
        <v/>
      </c>
      <c r="C11" s="5" t="inlineStr">
        <is>
          <t>→ SA105</t>
        </is>
      </c>
    </row>
    <row r="12">
      <c r="A12" t="inlineStr">
        <is>
          <t>UK finance-cost tax credit (20%)</t>
        </is>
      </c>
      <c r="B12" s="15">
        <f>0.2*B10</f>
        <v/>
      </c>
      <c r="C12" s="5" t="inlineStr">
        <is>
          <t>reduces UK tax, not profit</t>
        </is>
      </c>
    </row>
    <row r="14">
      <c r="A14" t="inlineStr">
        <is>
          <t>US depreciable basis (building only, USD)</t>
        </is>
      </c>
      <c r="B14" s="16" t="n"/>
      <c r="C14" s="5" t="inlineStr">
        <is>
          <t>lower of cost or FMV when first rented, excl. land; foreign residential = 30-yr ADS straight line</t>
        </is>
      </c>
    </row>
    <row r="15">
      <c r="A15" t="inlineStr">
        <is>
          <t>US annual depreciation (30-yr ADS)</t>
        </is>
      </c>
      <c r="B15" s="12">
        <f>B14/30</f>
        <v/>
      </c>
    </row>
    <row r="16">
      <c r="A16" s="8" t="inlineStr">
        <is>
          <t>US Schedule E net income (USD)</t>
        </is>
      </c>
      <c r="B16" s="9">
        <f>(C5-SUM(C6:C10))/FX!$B$2-B15</f>
        <v/>
      </c>
      <c r="C16" s="5" t="inlineStr">
        <is>
          <t>rents less ALL expenses incl. interest, less depreciation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6" customWidth="1" min="1" max="1"/>
    <col width="16" customWidth="1" min="2" max="2"/>
    <col width="66" customWidth="1" min="3" max="3"/>
  </cols>
  <sheetData>
    <row r="1">
      <c r="A1" s="2" t="inlineStr">
        <is>
          <t>UK 2025-26 liability estimate (England/NI bands)</t>
        </is>
      </c>
      <c r="B1" s="3" t="n"/>
      <c r="C1" s="3" t="n"/>
    </row>
    <row r="2">
      <c r="A2" t="inlineStr">
        <is>
          <t>Personal allowance</t>
        </is>
      </c>
      <c r="B2" s="17" t="n">
        <v>12570</v>
      </c>
      <c r="C2" s="5" t="inlineStr">
        <is>
          <t>tapered £1 per £2 of income over £100,000</t>
        </is>
      </c>
    </row>
    <row r="3">
      <c r="A3" t="inlineStr">
        <is>
          <t>Basic-rate band (20%)</t>
        </is>
      </c>
      <c r="B3" s="17" t="n">
        <v>37700</v>
      </c>
    </row>
    <row r="4">
      <c r="A4" t="inlineStr">
        <is>
          <t>Additional-rate threshold (45%)</t>
        </is>
      </c>
      <c r="B4" s="17" t="n">
        <v>125140</v>
      </c>
    </row>
    <row r="6">
      <c r="A6" t="inlineStr">
        <is>
          <t>Employment income 2025-26</t>
        </is>
      </c>
      <c r="B6" s="15">
        <f>Employment!B5</f>
        <v/>
      </c>
    </row>
    <row r="7">
      <c r="A7" t="inlineStr">
        <is>
          <t>Property profit</t>
        </is>
      </c>
      <c r="B7" s="15">
        <f>'Rental'!B11</f>
        <v/>
      </c>
    </row>
    <row r="8">
      <c r="A8" t="inlineStr">
        <is>
          <t>Other UK-taxable income (interest, dividends...)</t>
        </is>
      </c>
      <c r="B8" s="7" t="n"/>
      <c r="C8" s="5" t="inlineStr">
        <is>
          <t>model dividend rates separately if material</t>
        </is>
      </c>
    </row>
    <row r="9">
      <c r="A9" s="8" t="inlineStr">
        <is>
          <t>Total income</t>
        </is>
      </c>
      <c r="B9" s="14">
        <f>SUM(B6:B8)</f>
        <v/>
      </c>
    </row>
    <row r="10">
      <c r="A10" t="inlineStr">
        <is>
          <t>Personal allowance (after taper)</t>
        </is>
      </c>
      <c r="B10" s="15">
        <f>MAX(0,B2-MAX(0,(B9-100000)/2))</f>
        <v/>
      </c>
    </row>
    <row r="11">
      <c r="A11" s="8" t="inlineStr">
        <is>
          <t>Taxable income</t>
        </is>
      </c>
      <c r="B11" s="14">
        <f>MAX(0,B9-B10)</f>
        <v/>
      </c>
    </row>
    <row r="12">
      <c r="A12" t="inlineStr">
        <is>
          <t>Tax at 20% / 40% / 45%</t>
        </is>
      </c>
      <c r="B12" s="15">
        <f>0.2*MIN(B11,B3)+0.4*MAX(0,MIN(B11,B4-B2)-B3)+0.45*MAX(0,B11-(B4-B2))</f>
        <v/>
      </c>
      <c r="C12" s="5" t="inlineStr">
        <is>
          <t>approximation — bands shift with pension/gift-aid contributions</t>
        </is>
      </c>
    </row>
    <row r="13">
      <c r="A13" t="inlineStr">
        <is>
          <t>Less: finance-cost credit (rental)</t>
        </is>
      </c>
      <c r="B13" s="15">
        <f>'Rental'!B12</f>
        <v/>
      </c>
    </row>
    <row r="14">
      <c r="A14" s="8" t="inlineStr">
        <is>
          <t>Estimated UK liability</t>
        </is>
      </c>
      <c r="B14" s="14">
        <f>MAX(0,B12-B13)</f>
        <v/>
      </c>
    </row>
    <row r="15">
      <c r="A15" t="inlineStr">
        <is>
          <t>Less: PAYE paid 2025-26</t>
        </is>
      </c>
      <c r="B15" s="15">
        <f>Employment!B6</f>
        <v/>
      </c>
    </row>
    <row r="16">
      <c r="A16" s="8" t="inlineStr">
        <is>
          <t>Balancing payment due 31 Jan 2027 (est.)</t>
        </is>
      </c>
      <c r="B16" s="14">
        <f>B14-B15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2" customWidth="1" min="1" max="1"/>
    <col width="16" customWidth="1" min="2" max="2"/>
    <col width="66" customWidth="1" min="3" max="3"/>
  </cols>
  <sheetData>
    <row r="1">
      <c r="A1" s="2" t="inlineStr">
        <is>
          <t>Form 1116 — general category limitation (calendar 2025, USD)</t>
        </is>
      </c>
      <c r="B1" s="3" t="n"/>
      <c r="C1" s="3" t="n"/>
    </row>
    <row r="2">
      <c r="A2" t="inlineStr">
        <is>
          <t>Standard deduction (MFJ, 2025)</t>
        </is>
      </c>
      <c r="B2" s="18" t="n">
        <v>31500</v>
      </c>
      <c r="C2" s="5" t="inlineStr">
        <is>
          <t>verify in i1040; itemize instead if better</t>
        </is>
      </c>
    </row>
    <row r="4">
      <c r="A4" t="inlineStr">
        <is>
          <t>Foreign-source wages</t>
        </is>
      </c>
      <c r="B4" s="12">
        <f>Employment!B9</f>
        <v/>
      </c>
    </row>
    <row r="5">
      <c r="A5" t="inlineStr">
        <is>
          <t>Foreign-source option/RSU income (UK share)</t>
        </is>
      </c>
      <c r="B5" s="12">
        <f>Options!L15</f>
        <v/>
      </c>
      <c r="C5" s="5" t="inlineStr">
        <is>
          <t>US-workday share is US-source and NOT in the FTC numerator</t>
        </is>
      </c>
    </row>
    <row r="6">
      <c r="A6" t="inlineStr">
        <is>
          <t>Foreign-source rental net income</t>
        </is>
      </c>
      <c r="B6" s="12">
        <f>'Rental'!B16</f>
        <v/>
      </c>
      <c r="C6" s="5" t="inlineStr">
        <is>
          <t>passive basket if net positive — see note</t>
        </is>
      </c>
    </row>
    <row r="7">
      <c r="A7" s="8" t="inlineStr">
        <is>
          <t>Foreign-source taxable income (FSTI)</t>
        </is>
      </c>
      <c r="B7" s="9">
        <f>SUM(B4:B6)</f>
        <v/>
      </c>
    </row>
    <row r="8">
      <c r="A8" t="inlineStr">
        <is>
          <t>US-source income (US option share, US interest...)</t>
        </is>
      </c>
      <c r="B8" s="16" t="n"/>
    </row>
    <row r="9">
      <c r="A9" t="inlineStr">
        <is>
          <t>Total taxable income before deduction</t>
        </is>
      </c>
      <c r="B9" s="12">
        <f>B7+B8</f>
        <v/>
      </c>
    </row>
    <row r="10">
      <c r="A10" s="8" t="inlineStr">
        <is>
          <t>Taxable income (after standard deduction)</t>
        </is>
      </c>
      <c r="B10" s="9">
        <f>MAX(0,B9-B2)</f>
        <v/>
      </c>
    </row>
    <row r="11">
      <c r="A11" t="inlineStr">
        <is>
          <t>US tax before credits (from 1040 tables on line above)</t>
        </is>
      </c>
      <c r="B11" s="16" t="n"/>
      <c r="C11" s="5" t="inlineStr">
        <is>
          <t>compute from 2025 MFJ brackets; then subtract CTC/ODC AFTER the FTC per form ordering</t>
        </is>
      </c>
    </row>
    <row r="12">
      <c r="A12" s="8" t="inlineStr">
        <is>
          <t>FTC limitation = US tax × FSTI / TI</t>
        </is>
      </c>
      <c r="B12" s="9">
        <f>IF(B10&gt;0,B11*MIN(1,B7/B10),0)</f>
        <v/>
      </c>
    </row>
    <row r="13">
      <c r="A13" t="inlineStr">
        <is>
          <t>UK tax paid/accrued on that income (USD)</t>
        </is>
      </c>
      <c r="B13" s="12">
        <f>Employment!B10+IF(Options!C17&gt;0,Options!C17/FX!$B$2,0)</f>
        <v/>
      </c>
      <c r="C13" s="5" t="inlineStr">
        <is>
          <t>employment PAYE + option PAYE; add UK tax on rental when SA is finalised</t>
        </is>
      </c>
    </row>
    <row r="14">
      <c r="A14" s="8" t="inlineStr">
        <is>
          <t>Credit usable this year</t>
        </is>
      </c>
      <c r="B14" s="9">
        <f>MIN(B12,B13)</f>
        <v/>
      </c>
    </row>
    <row r="15">
      <c r="A15" t="inlineStr">
        <is>
          <t>Excess (carryback 1 yr / carryforward 10 yrs)</t>
        </is>
      </c>
      <c r="B15" s="12">
        <f>MAX(0,B13-B12)</f>
        <v/>
      </c>
    </row>
    <row r="17">
      <c r="A17" s="5" t="inlineStr">
        <is>
          <t>Note: net rental income is usually PASSIVE basket (separate 1116). UK tax rates exceed US rates, so high-taxed passive income may kick back to general — model when figures are real.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8" customWidth="1" min="2" max="2"/>
    <col width="18" customWidth="1" min="3" max="3"/>
    <col width="52" customWidth="1" min="4" max="4"/>
  </cols>
  <sheetData>
    <row r="1">
      <c r="A1" s="2" t="inlineStr">
        <is>
          <t>Strategy comparison — decide with real numbers</t>
        </is>
      </c>
      <c r="B1" s="3" t="n"/>
      <c r="C1" s="3" t="n"/>
      <c r="D1" s="3" t="n"/>
    </row>
    <row r="2">
      <c r="A2" t="inlineStr">
        <is>
          <t>FEIE limit per spouse (2025)</t>
        </is>
      </c>
      <c r="B2" s="18" t="n">
        <v>130000</v>
      </c>
      <c r="C2" s="5" t="inlineStr">
        <is>
          <t>verify in i2555</t>
        </is>
      </c>
    </row>
    <row r="4">
      <c r="B4" s="8" t="inlineStr">
        <is>
          <t>A: FTC only</t>
        </is>
      </c>
      <c r="C4" s="8" t="inlineStr">
        <is>
          <t>B: FEIE + FTC</t>
        </is>
      </c>
    </row>
    <row r="5">
      <c r="A5" s="19" t="inlineStr">
        <is>
          <t>Earned income covered</t>
        </is>
      </c>
      <c r="B5" s="19" t="inlineStr">
        <is>
          <t>credit for UK tax</t>
        </is>
      </c>
      <c r="C5" s="19" t="inlineStr">
        <is>
          <t>excluded up to limit</t>
        </is>
      </c>
    </row>
    <row r="6">
      <c r="A6" s="19" t="inlineStr">
        <is>
          <t>Child Tax Credit (refundable ACTC)</t>
        </is>
      </c>
      <c r="B6" s="19" t="inlineStr">
        <is>
          <t>available</t>
        </is>
      </c>
      <c r="C6" s="19" t="inlineStr">
        <is>
          <t>LOST if income fully excluded — often decisive with 2-3 qualifying kids</t>
        </is>
      </c>
    </row>
    <row r="7">
      <c r="A7" s="19" t="inlineStr">
        <is>
          <t>Unexcluded income tax rate</t>
        </is>
      </c>
      <c r="B7" s="19" t="inlineStr">
        <is>
          <t>n/a</t>
        </is>
      </c>
      <c r="C7" s="19" t="inlineStr">
        <is>
          <t>stacking rule: taxed at higher brackets</t>
        </is>
      </c>
    </row>
    <row r="8">
      <c r="A8" s="19" t="inlineStr">
        <is>
          <t>Carryovers build up</t>
        </is>
      </c>
      <c r="B8" s="19" t="inlineStr">
        <is>
          <t>yes (10-yr carryforward)</t>
        </is>
      </c>
      <c r="C8" s="19" t="inlineStr">
        <is>
          <t>no carryover on excluded income</t>
        </is>
      </c>
    </row>
    <row r="9">
      <c r="A9" s="19" t="inlineStr">
        <is>
          <t>Revocation trap</t>
        </is>
      </c>
      <c r="B9" s="19" t="inlineStr">
        <is>
          <t>none</t>
        </is>
      </c>
      <c r="C9" s="19" t="inlineStr">
        <is>
          <t>revoking FEIE bars re-election for 5 years without IRS consent</t>
        </is>
      </c>
    </row>
    <row r="10">
      <c r="A10" s="19" t="inlineStr">
        <is>
          <t>Typical outcome, high UK tax + kids + rental</t>
        </is>
      </c>
      <c r="B10" s="19" t="inlineStr">
        <is>
          <t>usually better</t>
        </is>
      </c>
      <c r="C10" s="19" t="inlineStr">
        <is>
          <t>rarely better</t>
        </is>
      </c>
    </row>
    <row r="12">
      <c r="A12" s="5" t="inlineStr">
        <is>
          <t>UK marginal rates (20/40/45%) generally exceed US rates, so the FTC usually wipes out US tax on UK earnings AND preserves the refundable Child Tax Credit. Verify by filling both scenarios once real numbers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2026-07-06T09:54:53Z</dcterms:created>
  <dcterms:modified xmlns:dcterms="http://purl.org/dc/terms/" xmlns:xsi="http://www.w3.org/2001/XMLSchema-instance" xsi:type="dcterms:W3CDTF">2026-07-06T09:54:53Z</dcterms:modified>
</cp:coreProperties>
</file>